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tabase" sheetId="1" r:id="rId5"/>
    <sheet state="visible" name="Daily Log" sheetId="2" r:id="rId6"/>
    <sheet state="visible" name="Rejection Analysis" sheetId="3" r:id="rId7"/>
    <sheet state="visible" name="Avg. Processing time " sheetId="4" r:id="rId8"/>
    <sheet state="visible" name="Peak Hours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<sst xmlns="http://schemas.openxmlformats.org/spreadsheetml/2006/main" count="145" uniqueCount="56">
  <si>
    <t>Total Samples</t>
  </si>
  <si>
    <t>Pending Verification</t>
  </si>
  <si>
    <t>Temperature alerts</t>
  </si>
  <si>
    <t>Sample ID</t>
  </si>
  <si>
    <t>Priority</t>
  </si>
  <si>
    <t>Date Due</t>
  </si>
  <si>
    <t>Date Received</t>
  </si>
  <si>
    <t>Time Received</t>
  </si>
  <si>
    <t>Hour</t>
  </si>
  <si>
    <t>Department</t>
  </si>
  <si>
    <t>Temperature (2 - 8 ℃ )</t>
  </si>
  <si>
    <t>Status</t>
  </si>
  <si>
    <t>Time in Status (hrs)</t>
  </si>
  <si>
    <t>Rejected</t>
  </si>
  <si>
    <t>Rejection Reason</t>
  </si>
  <si>
    <t>Chain of Custody</t>
  </si>
  <si>
    <t>S-001</t>
  </si>
  <si>
    <t>High</t>
  </si>
  <si>
    <t>Microbiology</t>
  </si>
  <si>
    <t>Completed</t>
  </si>
  <si>
    <t>N/A</t>
  </si>
  <si>
    <t>Verified</t>
  </si>
  <si>
    <t>S-002</t>
  </si>
  <si>
    <t>Chemistry</t>
  </si>
  <si>
    <t>Received</t>
  </si>
  <si>
    <t xml:space="preserve">Pending </t>
  </si>
  <si>
    <t>S-003</t>
  </si>
  <si>
    <t>Contamination</t>
  </si>
  <si>
    <t>S-004</t>
  </si>
  <si>
    <t>Manufacturing</t>
  </si>
  <si>
    <t>S-005</t>
  </si>
  <si>
    <t>S-006</t>
  </si>
  <si>
    <t>S-007</t>
  </si>
  <si>
    <t>Label Error</t>
  </si>
  <si>
    <t>S-008</t>
  </si>
  <si>
    <t>S-009</t>
  </si>
  <si>
    <t>Reserved</t>
  </si>
  <si>
    <t>S-010</t>
  </si>
  <si>
    <t>S-011</t>
  </si>
  <si>
    <t>Temperature Excursion</t>
  </si>
  <si>
    <t>S-012</t>
  </si>
  <si>
    <t>S-013</t>
  </si>
  <si>
    <t>S-014</t>
  </si>
  <si>
    <t>S-015</t>
  </si>
  <si>
    <t>In Testing</t>
  </si>
  <si>
    <t>Expired Sample</t>
  </si>
  <si>
    <t>S-016</t>
  </si>
  <si>
    <t>S-017</t>
  </si>
  <si>
    <t>S-018</t>
  </si>
  <si>
    <t>S-019</t>
  </si>
  <si>
    <t>S-020</t>
  </si>
  <si>
    <t xml:space="preserve">Department </t>
  </si>
  <si>
    <t xml:space="preserve">Reason for rejection </t>
  </si>
  <si>
    <t>COUNTA of Sample ID</t>
  </si>
  <si>
    <t>Grand Total</t>
  </si>
  <si>
    <t>AVERAGE of Time in Status (hrs)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</si>
</sst>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9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Border="1" applyFont="1"/>
    <xf borderId="4" fillId="2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5" fillId="0" fontId="1" numFmtId="0" xfId="0" applyBorder="1" applyFont="1"/>
    <xf borderId="6" fillId="2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Border="1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2">
    <tableStyle count="4" pivot="0" name="Master Datab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ily Log-style">
      <tableStyleElement dxfId="8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9:M29" sheet="Master Database"/>
  </cacheSource>
  <cacheFields>
    <cacheField name="Sample ID" numFmtId="0">
      <sharedItems>
        <s v="S-001"/>
        <s v="S-002"/>
        <s v="S-003"/>
        <s v="S-004"/>
        <s v="S-005"/>
        <s v="S-006"/>
        <s v="S-007"/>
        <s v="S-008"/>
        <s v="S-009"/>
        <s v="S-010"/>
        <s v="S-011"/>
        <s v="S-012"/>
        <s v="S-013"/>
        <s v="S-014"/>
        <s v="S-015"/>
        <s v="S-016"/>
        <s v="S-017"/>
        <s v="S-018"/>
        <s v="S-019"/>
        <s v="S-020"/>
      </sharedItems>
    </cacheField>
    <cacheField name="Priority" numFmtId="0">
      <sharedItems containsBlank="1">
        <s v="High"/>
        <m/>
      </sharedItems>
    </cacheField>
    <cacheField name="Date Due" numFmtId="164">
      <sharedItems containsSemiMixedTypes="0" containsDate="1" containsString="0">
        <d v="2024-03-25T00:00:00Z"/>
        <d v="2024-03-20T00:00:00Z"/>
        <d v="2024-03-23T00:00:00Z"/>
        <d v="2024-03-27T00:00:00Z"/>
        <d v="2024-03-28T00:00:00Z"/>
        <d v="2024-03-26T00:00:00Z"/>
      </sharedItems>
    </cacheField>
    <cacheField name="Date Received" numFmtId="164">
      <sharedItems containsSemiMixedTypes="0" containsDate="1" containsString="0">
        <d v="2024-03-25T00:00:00Z"/>
        <d v="2024-03-26T00:00:00Z"/>
      </sharedItems>
    </cacheField>
    <cacheField name="Time Received" numFmtId="165">
      <sharedItems containsSemiMixedTypes="0" containsDate="1" containsString="0">
        <d v="1899-12-30T08:15:00Z"/>
        <d v="1899-12-30T08:45:00Z"/>
        <d v="1899-12-30T09:30:00Z"/>
        <d v="1899-12-30T10:15:00Z"/>
        <d v="1899-12-30T11:00:00Z"/>
        <d v="1899-12-30T13:45:00Z"/>
        <d v="1899-12-30T14:20:00Z"/>
        <d v="1899-12-30T15:00:00Z"/>
        <d v="1899-12-30T16:30:00Z"/>
        <d v="1899-12-30T19:15:00Z"/>
        <d v="1899-12-30T20:45:00Z"/>
        <d v="1899-12-30T21:30:00Z"/>
        <d v="1899-12-30T22:00:00Z"/>
        <d v="1899-12-30T23:15:00Z"/>
        <d v="1899-12-30T00:45:00Z"/>
        <d v="1899-12-30T02:30:00Z"/>
        <d v="1899-12-30T05:00:00Z"/>
        <d v="1899-12-30T07:15:00Z"/>
        <d v="1899-12-30T08:00:00Z"/>
        <d v="1899-12-30T09:45:00Z"/>
      </sharedItems>
    </cacheField>
    <cacheField name="Hour" numFmtId="0">
      <sharedItems containsSemiMixedTypes="0" containsString="0" containsNumber="1" containsInteger="1">
        <n v="8.0"/>
        <n v="9.0"/>
        <n v="10.0"/>
        <n v="11.0"/>
        <n v="13.0"/>
        <n v="14.0"/>
        <n v="15.0"/>
        <n v="16.0"/>
        <n v="19.0"/>
        <n v="20.0"/>
        <n v="21.0"/>
        <n v="22.0"/>
        <n v="23.0"/>
        <n v="0.0"/>
        <n v="2.0"/>
        <n v="5.0"/>
        <n v="7.0"/>
      </sharedItems>
    </cacheField>
    <cacheField name="Department" numFmtId="0">
      <sharedItems>
        <s v="Microbiology"/>
        <s v="Chemistry"/>
        <s v="Manufacturing"/>
      </sharedItems>
    </cacheField>
    <cacheField name="Temperature (2 - 8 ℃ )" numFmtId="0">
      <sharedItems containsSemiMixedTypes="0" containsString="0" containsNumber="1" containsInteger="1">
        <n v="2.0"/>
        <n v="4.0"/>
        <n v="6.0"/>
        <n v="7.0"/>
        <n v="8.0"/>
        <n v="9.0"/>
        <n v="1.0"/>
        <n v="3.0"/>
        <n v="5.0"/>
      </sharedItems>
    </cacheField>
    <cacheField name="Status" numFmtId="0">
      <sharedItems>
        <s v="Completed"/>
        <s v="Received"/>
        <s v="Rejected"/>
        <s v="Reserved"/>
        <s v="In Testing"/>
      </sharedItems>
    </cacheField>
    <cacheField name="Time in Status (hrs)" numFmtId="0">
      <sharedItems containsSemiMixedTypes="0" containsString="0" containsNumber="1" containsInteger="1">
        <n v="24.0"/>
        <n v="48.0"/>
        <n v="2.0"/>
        <n v="12.0"/>
        <n v="72.0"/>
        <n v="18.0"/>
        <n v="4.0"/>
        <n v="8.0"/>
        <n v="96.0"/>
        <n v="20.0"/>
        <n v="1.0"/>
        <n v="30.0"/>
        <n v="120.0"/>
        <n v="6.0"/>
        <n v="3.0"/>
        <n v="36.0"/>
        <n v="60.0"/>
        <n v="14.0"/>
        <n v="10.0"/>
      </sharedItems>
    </cacheField>
    <cacheField name="Rejected" numFmtId="0">
      <sharedItems>
        <b v="0"/>
        <b v="1"/>
      </sharedItems>
    </cacheField>
    <cacheField name="Rejection Reason" numFmtId="0">
      <sharedItems>
        <s v="N/A"/>
        <s v="Contamination"/>
        <s v="Label Error"/>
        <s v="Temperature Excursion"/>
        <s v="Expired Sample"/>
      </sharedItems>
    </cacheField>
    <cacheField name="Chain of Custody" numFmtId="0">
      <sharedItems>
        <s v="Verified"/>
        <s v="Pending 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jection Analysis" cacheId="0" dataCaption="" compact="0" compactData="0">
  <location ref="A3:B9" firstHeaderRow="0" firstDataRow="1" firstDataCol="0" rowPageCount="1" colPageCount="1"/>
  <pivotFields>
    <pivotField name="Sampl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iority" compact="0" outline="0" multipleItemSelectionAllowed="1" showAll="0">
      <items>
        <item x="0"/>
        <item x="1"/>
        <item t="default"/>
      </items>
    </pivotField>
    <pivotField name="Date Du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Received" compact="0" numFmtId="164" outline="0" multipleItemSelectionAllowed="1" showAll="0">
      <items>
        <item x="0"/>
        <item x="1"/>
        <item t="default"/>
      </items>
    </pivotField>
    <pivotField name="Time Receive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Temperature (2 - 8 ℃ 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me in Status (hr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ejected" axis="axisPage" compact="0" outline="0" multipleItemSelectionAllowed="1" showAll="0">
      <items>
        <item x="0"/>
        <item x="1"/>
        <item t="default"/>
      </items>
    </pivotField>
    <pivotField name="Rejection Reason" axis="axisRow" compact="0" outline="0" multipleItemSelectionAllowed="1" showAll="0" sortType="ascending">
      <items>
        <item x="1"/>
        <item x="4"/>
        <item x="2"/>
        <item x="0"/>
        <item x="3"/>
        <item t="default"/>
      </items>
    </pivotField>
    <pivotField name="Chain of Custody" compact="0" outline="0" multipleItemSelectionAllowed="1" showAll="0">
      <items>
        <item x="0"/>
        <item x="1"/>
        <item t="default"/>
      </items>
    </pivotField>
  </pivotFields>
  <rowFields>
    <field x="11"/>
  </rowFields>
  <pageFields>
    <pageField fld="10"/>
  </pageFields>
  <dataFields>
    <dataField name="COUNTA of Sample ID" fld="0" subtotal="count" baseField="0"/>
  </dataFields>
</pivotTableDefinition>
</file>

<file path=xl/pivotTables/pivotTable2.xml><?xml version="1.0" encoding="utf-8"?>
<pivotTableDefinition xmlns="http://schemas.openxmlformats.org/spreadsheetml/2006/main" name="Avg. Processing time " cacheId="0" dataCaption="" compact="0" compactData="0">
  <location ref="A1:B7" firstHeaderRow="0" firstDataRow="1" firstDataCol="0"/>
  <pivotFields>
    <pivotField name="Sampl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iority" compact="0" outline="0" multipleItemSelectionAllowed="1" showAll="0">
      <items>
        <item x="0"/>
        <item x="1"/>
        <item t="default"/>
      </items>
    </pivotField>
    <pivotField name="Date Du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Received" compact="0" numFmtId="164" outline="0" multipleItemSelectionAllowed="1" showAll="0">
      <items>
        <item x="0"/>
        <item x="1"/>
        <item t="default"/>
      </items>
    </pivotField>
    <pivotField name="Time Receive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Temperature (2 - 8 ℃ 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atus" axis="axisRow" compact="0" outline="0" multipleItemSelectionAllowed="1" showAll="0" sortType="ascending">
      <items>
        <item x="0"/>
        <item x="4"/>
        <item x="1"/>
        <item x="2"/>
        <item x="3"/>
        <item t="default"/>
      </items>
    </pivotField>
    <pivotField name="Time in Status (hr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ejected" compact="0" outline="0" multipleItemSelectionAllowed="1" showAll="0">
      <items>
        <item x="0"/>
        <item x="1"/>
        <item t="default"/>
      </items>
    </pivotField>
    <pivotField name="Rejection 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in of Custody" compact="0" outline="0" multipleItemSelectionAllowed="1" showAll="0">
      <items>
        <item x="0"/>
        <item x="1"/>
        <item t="default"/>
      </items>
    </pivotField>
  </pivotFields>
  <rowFields>
    <field x="8"/>
  </rowFields>
  <dataFields>
    <dataField name="AVERAGE of Time in Status (hrs)" fld="9" subtotal="average" baseField="0"/>
  </dataFields>
</pivotTableDefinition>
</file>

<file path=xl/pivotTables/pivotTable3.xml><?xml version="1.0" encoding="utf-8"?>
<pivotTableDefinition xmlns="http://schemas.openxmlformats.org/spreadsheetml/2006/main" name="Peak Hours" cacheId="0" dataCaption="" rowGrandTotals="0" compact="0" compactData="0">
  <location ref="A1:B18" firstHeaderRow="0" firstDataRow="1" firstDataCol="0"/>
  <pivotFields>
    <pivotField name="Sampl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iority" compact="0" outline="0" multipleItemSelectionAllowed="1" showAll="0">
      <items>
        <item x="0"/>
        <item x="1"/>
        <item t="default"/>
      </items>
    </pivotField>
    <pivotField name="Date Du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Received" compact="0" numFmtId="164" outline="0" multipleItemSelectionAllowed="1" showAll="0">
      <items>
        <item x="0"/>
        <item x="1"/>
        <item t="default"/>
      </items>
    </pivotField>
    <pivotField name="Time Receive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Hour" axis="axisRow" compact="0" outline="0" multipleItemSelectionAllowed="1" showAll="0" sortType="ascending">
      <items>
        <item x="13"/>
        <item x="14"/>
        <item x="15"/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Temperature (2 - 8 ℃ 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me in Status (hr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ejected" compact="0" outline="0" multipleItemSelectionAllowed="1" showAll="0">
      <items>
        <item x="0"/>
        <item x="1"/>
        <item t="default"/>
      </items>
    </pivotField>
    <pivotField name="Rejection 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in of Custody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COUNTA of Sample ID" fld="0" subtotal="count" baseField="0"/>
  </dataFields>
</pivotTableDefinition>
</file>

<file path=xl/tables/table1.xml><?xml version="1.0" encoding="utf-8"?>
<table xmlns="http://schemas.openxmlformats.org/spreadsheetml/2006/main" ref="A9:M29" displayName="Master_Database" name="Master_Database" id="1">
  <tableColumns count="13">
    <tableColumn name="Sample ID" id="1"/>
    <tableColumn name="Priority" id="2"/>
    <tableColumn name="Date Due" id="3"/>
    <tableColumn name="Date Received" id="4"/>
    <tableColumn name="Time Received" id="5"/>
    <tableColumn name="Hour" id="6"/>
    <tableColumn name="Department" id="7"/>
    <tableColumn name="Temperature (2 - 8 ℃ )" id="8"/>
    <tableColumn name="Status" id="9"/>
    <tableColumn name="Time in Status (hrs)" id="10"/>
    <tableColumn name="Rejected" id="11"/>
    <tableColumn name="Rejection Reason" id="12"/>
    <tableColumn name="Chain of Custody" id="13"/>
  </tableColumns>
  <tableStyleInfo name="Master Database-style" showColumnStripes="0" showFirstColumn="1" showLastColumn="1" showRowStripes="1"/>
</table>
</file>

<file path=xl/tables/table2.xml><?xml version="1.0" encoding="utf-8"?>
<table xmlns="http://schemas.openxmlformats.org/spreadsheetml/2006/main" ref="A1:D3" displayName="Daily_Log" name="Daily_Log" id="2">
  <tableColumns count="4">
    <tableColumn name="Sample ID" id="1"/>
    <tableColumn name="Department " id="2"/>
    <tableColumn name="Status" id="3"/>
    <tableColumn name="Reason for rejection " id="4"/>
  </tableColumns>
  <tableStyleInfo name="Daily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5"/>
    <col customWidth="1" min="3" max="4" width="18.13"/>
    <col customWidth="1" min="5" max="5" width="14.25"/>
    <col customWidth="1" min="6" max="6" width="17.5"/>
    <col customWidth="1" min="7" max="7" width="13.5"/>
    <col customWidth="1" min="8" max="8" width="22.13"/>
    <col customWidth="1" min="9" max="9" width="18.13"/>
    <col customWidth="1" min="10" max="10" width="15.5"/>
    <col customWidth="1" min="11" max="11" width="18.13"/>
    <col customWidth="1" min="12" max="12" width="21.38"/>
    <col customWidth="1" min="13" max="13" width="16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2" t="s">
        <v>0</v>
      </c>
      <c r="B3" s="3"/>
      <c r="C3" s="4">
        <f>COUNTA(Master_Database[Sample ID])</f>
        <v>20</v>
      </c>
      <c r="D3" s="1"/>
      <c r="E3" s="1"/>
      <c r="F3" s="1"/>
      <c r="G3" s="1"/>
      <c r="H3" s="1"/>
      <c r="I3" s="1"/>
      <c r="J3" s="1"/>
      <c r="K3" s="1"/>
    </row>
    <row r="4">
      <c r="A4" s="5" t="s">
        <v>1</v>
      </c>
      <c r="B4" s="6"/>
      <c r="C4" s="7">
        <f>COUNTIF(Master_Database[Chain of Custody],"*pending*")</f>
        <v>6</v>
      </c>
      <c r="E4" s="1"/>
      <c r="F4" s="1"/>
      <c r="G4" s="1"/>
      <c r="H4" s="1"/>
      <c r="I4" s="1"/>
      <c r="J4" s="1"/>
      <c r="K4" s="1"/>
    </row>
    <row r="5">
      <c r="A5" s="8" t="s">
        <v>2</v>
      </c>
      <c r="B5" s="9"/>
      <c r="C5" s="10">
        <f>COUNTIF(Master_Database[Temperature (2 - 8 ℃ )],"&gt;8")</f>
        <v>2</v>
      </c>
      <c r="D5" s="1"/>
      <c r="E5" s="1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9" ht="25.5" customHeight="1">
      <c r="A9" s="11" t="s">
        <v>3</v>
      </c>
      <c r="B9" s="11" t="s">
        <v>4</v>
      </c>
      <c r="C9" s="12" t="s">
        <v>5</v>
      </c>
      <c r="D9" s="12" t="s">
        <v>6</v>
      </c>
      <c r="E9" s="12" t="s">
        <v>7</v>
      </c>
      <c r="F9" s="11" t="s">
        <v>8</v>
      </c>
      <c r="G9" s="11" t="s">
        <v>9</v>
      </c>
      <c r="H9" s="11" t="s">
        <v>10</v>
      </c>
      <c r="I9" s="11" t="s">
        <v>11</v>
      </c>
      <c r="J9" s="12" t="s">
        <v>12</v>
      </c>
      <c r="K9" s="11" t="s">
        <v>13</v>
      </c>
      <c r="L9" s="12" t="s">
        <v>14</v>
      </c>
      <c r="M9" s="13" t="s">
        <v>15</v>
      </c>
    </row>
    <row r="10" ht="22.5" customHeight="1">
      <c r="A10" s="14" t="s">
        <v>16</v>
      </c>
      <c r="B10" s="15" t="s">
        <v>17</v>
      </c>
      <c r="C10" s="16">
        <v>45376.0</v>
      </c>
      <c r="D10" s="16">
        <v>45376.0</v>
      </c>
      <c r="E10" s="17">
        <v>0.34375</v>
      </c>
      <c r="F10" s="18">
        <v>8.0</v>
      </c>
      <c r="G10" s="19" t="s">
        <v>18</v>
      </c>
      <c r="H10" s="20">
        <v>2.0</v>
      </c>
      <c r="I10" s="19" t="s">
        <v>19</v>
      </c>
      <c r="J10" s="21">
        <v>24.0</v>
      </c>
      <c r="K10" s="22" t="b">
        <v>0</v>
      </c>
      <c r="L10" s="23" t="s">
        <v>20</v>
      </c>
      <c r="M10" s="24" t="s">
        <v>21</v>
      </c>
    </row>
    <row r="11" ht="22.5" customHeight="1">
      <c r="A11" s="14" t="s">
        <v>22</v>
      </c>
      <c r="B11" s="15" t="s">
        <v>17</v>
      </c>
      <c r="C11" s="16">
        <v>45376.0</v>
      </c>
      <c r="D11" s="16">
        <v>45376.0</v>
      </c>
      <c r="E11" s="17">
        <v>0.3645833333333333</v>
      </c>
      <c r="F11" s="18">
        <v>8.0</v>
      </c>
      <c r="G11" s="19" t="s">
        <v>23</v>
      </c>
      <c r="H11" s="20">
        <v>4.0</v>
      </c>
      <c r="I11" s="15" t="s">
        <v>24</v>
      </c>
      <c r="J11" s="21">
        <v>48.0</v>
      </c>
      <c r="K11" s="22" t="b">
        <v>0</v>
      </c>
      <c r="L11" s="23" t="s">
        <v>20</v>
      </c>
      <c r="M11" s="24" t="s">
        <v>25</v>
      </c>
    </row>
    <row r="12" ht="22.5" customHeight="1">
      <c r="A12" s="14" t="s">
        <v>26</v>
      </c>
      <c r="B12" s="15"/>
      <c r="C12" s="16">
        <v>45376.0</v>
      </c>
      <c r="D12" s="16">
        <v>45376.0</v>
      </c>
      <c r="E12" s="17">
        <v>0.3958333333333333</v>
      </c>
      <c r="F12" s="18">
        <v>9.0</v>
      </c>
      <c r="G12" s="19" t="s">
        <v>18</v>
      </c>
      <c r="H12" s="20">
        <v>4.0</v>
      </c>
      <c r="I12" s="15" t="s">
        <v>13</v>
      </c>
      <c r="J12" s="21">
        <v>2.0</v>
      </c>
      <c r="K12" s="22" t="b">
        <v>1</v>
      </c>
      <c r="L12" s="25" t="s">
        <v>27</v>
      </c>
      <c r="M12" s="24" t="s">
        <v>21</v>
      </c>
    </row>
    <row r="13" ht="22.5" customHeight="1">
      <c r="A13" s="14" t="s">
        <v>28</v>
      </c>
      <c r="B13" s="15"/>
      <c r="C13" s="16">
        <v>45376.0</v>
      </c>
      <c r="D13" s="16">
        <v>45376.0</v>
      </c>
      <c r="E13" s="17">
        <v>0.4270833333333333</v>
      </c>
      <c r="F13" s="18">
        <v>10.0</v>
      </c>
      <c r="G13" s="19" t="s">
        <v>29</v>
      </c>
      <c r="H13" s="20">
        <v>4.0</v>
      </c>
      <c r="I13" s="19" t="s">
        <v>19</v>
      </c>
      <c r="J13" s="21">
        <v>12.0</v>
      </c>
      <c r="K13" s="22" t="b">
        <v>0</v>
      </c>
      <c r="L13" s="23" t="s">
        <v>20</v>
      </c>
      <c r="M13" s="24" t="s">
        <v>25</v>
      </c>
    </row>
    <row r="14" ht="22.5" customHeight="1">
      <c r="A14" s="14" t="s">
        <v>30</v>
      </c>
      <c r="B14" s="15"/>
      <c r="C14" s="16">
        <v>45376.0</v>
      </c>
      <c r="D14" s="16">
        <v>45376.0</v>
      </c>
      <c r="E14" s="17">
        <v>0.4583333333333333</v>
      </c>
      <c r="F14" s="18">
        <v>11.0</v>
      </c>
      <c r="G14" s="19" t="s">
        <v>23</v>
      </c>
      <c r="H14" s="20">
        <v>2.0</v>
      </c>
      <c r="I14" s="15" t="s">
        <v>24</v>
      </c>
      <c r="J14" s="21">
        <v>72.0</v>
      </c>
      <c r="K14" s="22" t="b">
        <v>0</v>
      </c>
      <c r="L14" s="23" t="s">
        <v>20</v>
      </c>
      <c r="M14" s="24" t="s">
        <v>21</v>
      </c>
    </row>
    <row r="15" ht="22.5" customHeight="1">
      <c r="A15" s="14" t="s">
        <v>31</v>
      </c>
      <c r="B15" s="26"/>
      <c r="C15" s="27">
        <v>45371.0</v>
      </c>
      <c r="D15" s="16">
        <v>45376.0</v>
      </c>
      <c r="E15" s="17">
        <v>0.5729166666666666</v>
      </c>
      <c r="F15" s="18">
        <v>13.0</v>
      </c>
      <c r="G15" s="19" t="s">
        <v>18</v>
      </c>
      <c r="H15" s="20">
        <v>2.0</v>
      </c>
      <c r="I15" s="19" t="s">
        <v>19</v>
      </c>
      <c r="J15" s="21">
        <v>18.0</v>
      </c>
      <c r="K15" s="22" t="b">
        <v>0</v>
      </c>
      <c r="L15" s="23" t="s">
        <v>20</v>
      </c>
      <c r="M15" s="24" t="s">
        <v>21</v>
      </c>
    </row>
    <row r="16" ht="22.5" customHeight="1">
      <c r="A16" s="14" t="s">
        <v>32</v>
      </c>
      <c r="B16" s="15" t="s">
        <v>17</v>
      </c>
      <c r="C16" s="16">
        <v>45376.0</v>
      </c>
      <c r="D16" s="16">
        <v>45376.0</v>
      </c>
      <c r="E16" s="17">
        <v>0.5972222222222222</v>
      </c>
      <c r="F16" s="18">
        <v>14.0</v>
      </c>
      <c r="G16" s="19" t="s">
        <v>23</v>
      </c>
      <c r="H16" s="20">
        <v>2.0</v>
      </c>
      <c r="I16" s="15" t="s">
        <v>13</v>
      </c>
      <c r="J16" s="21">
        <v>4.0</v>
      </c>
      <c r="K16" s="22" t="b">
        <v>1</v>
      </c>
      <c r="L16" s="25" t="s">
        <v>33</v>
      </c>
      <c r="M16" s="24" t="s">
        <v>25</v>
      </c>
    </row>
    <row r="17" ht="22.5" customHeight="1">
      <c r="A17" s="14" t="s">
        <v>34</v>
      </c>
      <c r="B17" s="26"/>
      <c r="C17" s="16">
        <v>45376.0</v>
      </c>
      <c r="D17" s="16">
        <v>45376.0</v>
      </c>
      <c r="E17" s="17">
        <v>0.625</v>
      </c>
      <c r="F17" s="18">
        <v>15.0</v>
      </c>
      <c r="G17" s="19" t="s">
        <v>29</v>
      </c>
      <c r="H17" s="20">
        <v>6.0</v>
      </c>
      <c r="I17" s="19" t="s">
        <v>19</v>
      </c>
      <c r="J17" s="21">
        <v>8.0</v>
      </c>
      <c r="K17" s="22" t="b">
        <v>0</v>
      </c>
      <c r="L17" s="23" t="s">
        <v>20</v>
      </c>
      <c r="M17" s="24" t="s">
        <v>25</v>
      </c>
    </row>
    <row r="18" ht="22.5" customHeight="1">
      <c r="A18" s="14" t="s">
        <v>35</v>
      </c>
      <c r="B18" s="26"/>
      <c r="C18" s="16">
        <v>45376.0</v>
      </c>
      <c r="D18" s="16">
        <v>45376.0</v>
      </c>
      <c r="E18" s="17">
        <v>0.6875</v>
      </c>
      <c r="F18" s="18">
        <v>16.0</v>
      </c>
      <c r="G18" s="19" t="s">
        <v>18</v>
      </c>
      <c r="H18" s="20">
        <v>7.0</v>
      </c>
      <c r="I18" s="15" t="s">
        <v>36</v>
      </c>
      <c r="J18" s="21">
        <v>96.0</v>
      </c>
      <c r="K18" s="22" t="b">
        <v>0</v>
      </c>
      <c r="L18" s="23" t="s">
        <v>20</v>
      </c>
      <c r="M18" s="24" t="s">
        <v>25</v>
      </c>
    </row>
    <row r="19" ht="22.5" customHeight="1">
      <c r="A19" s="14" t="s">
        <v>37</v>
      </c>
      <c r="B19" s="26"/>
      <c r="C19" s="27">
        <v>45374.0</v>
      </c>
      <c r="D19" s="16">
        <v>45376.0</v>
      </c>
      <c r="E19" s="17">
        <v>0.8020833333333334</v>
      </c>
      <c r="F19" s="18">
        <v>19.0</v>
      </c>
      <c r="G19" s="19" t="s">
        <v>23</v>
      </c>
      <c r="H19" s="20">
        <v>8.0</v>
      </c>
      <c r="I19" s="19" t="s">
        <v>19</v>
      </c>
      <c r="J19" s="21">
        <v>20.0</v>
      </c>
      <c r="K19" s="22" t="b">
        <v>0</v>
      </c>
      <c r="L19" s="23" t="s">
        <v>20</v>
      </c>
      <c r="M19" s="24" t="s">
        <v>21</v>
      </c>
    </row>
    <row r="20" ht="22.5" customHeight="1">
      <c r="A20" s="14" t="s">
        <v>38</v>
      </c>
      <c r="B20" s="26"/>
      <c r="C20" s="16">
        <v>45376.0</v>
      </c>
      <c r="D20" s="16">
        <v>45376.0</v>
      </c>
      <c r="E20" s="17">
        <v>0.8645833333333334</v>
      </c>
      <c r="F20" s="18">
        <v>20.0</v>
      </c>
      <c r="G20" s="19" t="s">
        <v>29</v>
      </c>
      <c r="H20" s="20">
        <v>9.0</v>
      </c>
      <c r="I20" s="15" t="s">
        <v>13</v>
      </c>
      <c r="J20" s="21">
        <v>1.0</v>
      </c>
      <c r="K20" s="22" t="b">
        <v>1</v>
      </c>
      <c r="L20" s="25" t="s">
        <v>39</v>
      </c>
      <c r="M20" s="24" t="s">
        <v>21</v>
      </c>
    </row>
    <row r="21" ht="22.5" customHeight="1">
      <c r="A21" s="14" t="s">
        <v>40</v>
      </c>
      <c r="B21" s="26"/>
      <c r="C21" s="27">
        <v>45378.0</v>
      </c>
      <c r="D21" s="16">
        <v>45376.0</v>
      </c>
      <c r="E21" s="17">
        <v>0.8958333333333334</v>
      </c>
      <c r="F21" s="18">
        <v>21.0</v>
      </c>
      <c r="G21" s="19" t="s">
        <v>18</v>
      </c>
      <c r="H21" s="20">
        <v>1.0</v>
      </c>
      <c r="I21" s="19" t="s">
        <v>19</v>
      </c>
      <c r="J21" s="21">
        <v>30.0</v>
      </c>
      <c r="K21" s="22" t="b">
        <v>0</v>
      </c>
      <c r="L21" s="23" t="s">
        <v>20</v>
      </c>
      <c r="M21" s="24" t="s">
        <v>21</v>
      </c>
    </row>
    <row r="22" ht="22.5" customHeight="1">
      <c r="A22" s="14" t="s">
        <v>41</v>
      </c>
      <c r="B22" s="26"/>
      <c r="C22" s="16">
        <v>45376.0</v>
      </c>
      <c r="D22" s="16">
        <v>45376.0</v>
      </c>
      <c r="E22" s="17">
        <v>0.9166666666666666</v>
      </c>
      <c r="F22" s="18">
        <v>22.0</v>
      </c>
      <c r="G22" s="19" t="s">
        <v>23</v>
      </c>
      <c r="H22" s="20">
        <v>1.0</v>
      </c>
      <c r="I22" s="15" t="s">
        <v>24</v>
      </c>
      <c r="J22" s="21">
        <v>120.0</v>
      </c>
      <c r="K22" s="22" t="b">
        <v>0</v>
      </c>
      <c r="L22" s="23" t="s">
        <v>20</v>
      </c>
      <c r="M22" s="24" t="s">
        <v>21</v>
      </c>
    </row>
    <row r="23" ht="22.5" customHeight="1">
      <c r="A23" s="14" t="s">
        <v>42</v>
      </c>
      <c r="B23" s="26"/>
      <c r="C23" s="27">
        <v>45379.0</v>
      </c>
      <c r="D23" s="16">
        <v>45377.0</v>
      </c>
      <c r="E23" s="17">
        <v>0.96875</v>
      </c>
      <c r="F23" s="18">
        <v>23.0</v>
      </c>
      <c r="G23" s="19" t="s">
        <v>29</v>
      </c>
      <c r="H23" s="20">
        <v>1.0</v>
      </c>
      <c r="I23" s="19" t="s">
        <v>19</v>
      </c>
      <c r="J23" s="21">
        <v>6.0</v>
      </c>
      <c r="K23" s="22" t="b">
        <v>0</v>
      </c>
      <c r="L23" s="23" t="s">
        <v>20</v>
      </c>
      <c r="M23" s="24" t="s">
        <v>25</v>
      </c>
    </row>
    <row r="24" ht="22.5" customHeight="1">
      <c r="A24" s="14" t="s">
        <v>43</v>
      </c>
      <c r="B24" s="15" t="s">
        <v>17</v>
      </c>
      <c r="C24" s="16">
        <v>45377.0</v>
      </c>
      <c r="D24" s="16">
        <v>45377.0</v>
      </c>
      <c r="E24" s="17">
        <v>0.03125</v>
      </c>
      <c r="F24" s="18">
        <v>0.0</v>
      </c>
      <c r="G24" s="19" t="s">
        <v>18</v>
      </c>
      <c r="H24" s="20">
        <v>3.0</v>
      </c>
      <c r="I24" s="15" t="s">
        <v>44</v>
      </c>
      <c r="J24" s="21">
        <v>3.0</v>
      </c>
      <c r="K24" s="22" t="b">
        <v>1</v>
      </c>
      <c r="L24" s="25" t="s">
        <v>45</v>
      </c>
      <c r="M24" s="24" t="s">
        <v>21</v>
      </c>
    </row>
    <row r="25" ht="22.5" customHeight="1">
      <c r="A25" s="14" t="s">
        <v>46</v>
      </c>
      <c r="B25" s="26"/>
      <c r="C25" s="16">
        <v>45377.0</v>
      </c>
      <c r="D25" s="16">
        <v>45377.0</v>
      </c>
      <c r="E25" s="17">
        <v>0.10416666666666667</v>
      </c>
      <c r="F25" s="18">
        <v>2.0</v>
      </c>
      <c r="G25" s="19" t="s">
        <v>23</v>
      </c>
      <c r="H25" s="20">
        <v>3.0</v>
      </c>
      <c r="I25" s="19" t="s">
        <v>19</v>
      </c>
      <c r="J25" s="21">
        <v>36.0</v>
      </c>
      <c r="K25" s="22" t="b">
        <v>0</v>
      </c>
      <c r="L25" s="23" t="s">
        <v>20</v>
      </c>
      <c r="M25" s="24" t="s">
        <v>21</v>
      </c>
    </row>
    <row r="26" ht="22.5" customHeight="1">
      <c r="A26" s="14" t="s">
        <v>47</v>
      </c>
      <c r="B26" s="26"/>
      <c r="C26" s="27">
        <v>45379.0</v>
      </c>
      <c r="D26" s="16">
        <v>45377.0</v>
      </c>
      <c r="E26" s="17">
        <v>0.20833333333333334</v>
      </c>
      <c r="F26" s="18">
        <v>5.0</v>
      </c>
      <c r="G26" s="19" t="s">
        <v>29</v>
      </c>
      <c r="H26" s="20">
        <v>5.0</v>
      </c>
      <c r="I26" s="15" t="s">
        <v>44</v>
      </c>
      <c r="J26" s="21">
        <v>60.0</v>
      </c>
      <c r="K26" s="22" t="b">
        <v>0</v>
      </c>
      <c r="L26" s="23" t="s">
        <v>20</v>
      </c>
      <c r="M26" s="24" t="s">
        <v>21</v>
      </c>
    </row>
    <row r="27" ht="22.5" customHeight="1">
      <c r="A27" s="14" t="s">
        <v>48</v>
      </c>
      <c r="B27" s="15" t="s">
        <v>17</v>
      </c>
      <c r="C27" s="16">
        <v>45377.0</v>
      </c>
      <c r="D27" s="16">
        <v>45377.0</v>
      </c>
      <c r="E27" s="17">
        <v>0.3020833333333333</v>
      </c>
      <c r="F27" s="18">
        <v>7.0</v>
      </c>
      <c r="G27" s="19" t="s">
        <v>18</v>
      </c>
      <c r="H27" s="20">
        <v>7.0</v>
      </c>
      <c r="I27" s="19" t="s">
        <v>19</v>
      </c>
      <c r="J27" s="21">
        <v>14.0</v>
      </c>
      <c r="K27" s="22" t="b">
        <v>0</v>
      </c>
      <c r="L27" s="23" t="s">
        <v>20</v>
      </c>
      <c r="M27" s="24" t="s">
        <v>21</v>
      </c>
    </row>
    <row r="28" ht="22.5" customHeight="1">
      <c r="A28" s="14" t="s">
        <v>49</v>
      </c>
      <c r="B28" s="26"/>
      <c r="C28" s="27">
        <v>45379.0</v>
      </c>
      <c r="D28" s="16">
        <v>45377.0</v>
      </c>
      <c r="E28" s="17">
        <v>0.3333333333333333</v>
      </c>
      <c r="F28" s="18">
        <v>8.0</v>
      </c>
      <c r="G28" s="19" t="s">
        <v>23</v>
      </c>
      <c r="H28" s="20">
        <v>8.0</v>
      </c>
      <c r="I28" s="15" t="s">
        <v>19</v>
      </c>
      <c r="J28" s="21">
        <v>2.0</v>
      </c>
      <c r="K28" s="22" t="b">
        <v>1</v>
      </c>
      <c r="L28" s="25" t="s">
        <v>27</v>
      </c>
      <c r="M28" s="24" t="s">
        <v>21</v>
      </c>
    </row>
    <row r="29" ht="22.5" customHeight="1">
      <c r="A29" s="14" t="s">
        <v>50</v>
      </c>
      <c r="B29" s="26"/>
      <c r="C29" s="16">
        <v>45377.0</v>
      </c>
      <c r="D29" s="16">
        <v>45377.0</v>
      </c>
      <c r="E29" s="17">
        <v>0.40625</v>
      </c>
      <c r="F29" s="18">
        <v>9.0</v>
      </c>
      <c r="G29" s="19" t="s">
        <v>29</v>
      </c>
      <c r="H29" s="20">
        <v>9.0</v>
      </c>
      <c r="I29" s="19" t="s">
        <v>19</v>
      </c>
      <c r="J29" s="21">
        <v>10.0</v>
      </c>
      <c r="K29" s="22" t="b">
        <v>0</v>
      </c>
      <c r="L29" s="23" t="s">
        <v>20</v>
      </c>
      <c r="M29" s="24" t="s">
        <v>21</v>
      </c>
    </row>
  </sheetData>
  <conditionalFormatting sqref="A10:M29">
    <cfRule type="expression" dxfId="5" priority="1">
      <formula>$I10="Rejected"</formula>
    </cfRule>
  </conditionalFormatting>
  <conditionalFormatting sqref="A10:M29">
    <cfRule type="expression" dxfId="6" priority="2">
      <formula>$B10="High"</formula>
    </cfRule>
  </conditionalFormatting>
  <conditionalFormatting sqref="H10:H29">
    <cfRule type="cellIs" dxfId="7" priority="6" operator="lessThan">
      <formula>2</formula>
    </cfRule>
  </conditionalFormatting>
  <conditionalFormatting sqref="H10:H29">
    <cfRule type="cellIs" dxfId="7" priority="7" operator="greaterThan">
      <formula>8</formula>
    </cfRule>
  </conditionalFormatting>
  <dataValidations>
    <dataValidation type="list" allowBlank="1" sqref="L10:L29">
      <formula1>"Contamination,Label Error,Temperature Excursion,Expired Sample,Contamination,N/A"</formula1>
    </dataValidation>
    <dataValidation type="list" allowBlank="1" sqref="M10:M29">
      <formula1>"Verified,Pending  "</formula1>
    </dataValidation>
    <dataValidation type="custom" allowBlank="1" showDropDown="1" sqref="D10:D29">
      <formula1>OR(NOT(ISERROR(DATEVALUE(D10))), AND(ISNUMBER(D10), LEFT(CELL("format", D10))="D"))</formula1>
    </dataValidation>
    <dataValidation type="custom" allowBlank="1" showDropDown="1" sqref="E10:E29">
      <formula1>OR(TIMEVALUE(TEXT(E10, "hh:mm:ss"))=E10, AND(ISNUMBER(E10), LEFT(CELL("format", E10))="D"))</formula1>
    </dataValidation>
    <dataValidation type="custom" allowBlank="1" showDropDown="1" sqref="F10:F29 J10:J29">
      <formula1>AND(ISNUMBER(F10),(NOT(OR(NOT(ISERROR(DATEVALUE(F10))), AND(ISNUMBER(F10), LEFT(CELL("format", F10))="D")))))</formula1>
    </dataValidation>
    <dataValidation type="list" allowBlank="1" sqref="I10:I29">
      <formula1>"Rejected,Completed,In Testing,Received,Reserved"</formula1>
    </dataValidation>
    <dataValidation type="list" allowBlank="1" sqref="G10:G29">
      <formula1>"Microbiology,Chemistry,Microbiology,Manufacturing,Chemistry,Microbiology,Chemistry,Manufacturing,Microbiology,Chemistry,Manufacturing,Microbiology,Chemistry,Manufacturing,Microbiology,Chemistry,Manufacturing,Microbiology,Chemistry,Manufacturing"</formula1>
    </dataValidation>
    <dataValidation type="list" allowBlank="1" sqref="B10:B29">
      <formula1>"High"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4.75"/>
    <col customWidth="1" min="4" max="4" width="20.75"/>
  </cols>
  <sheetData>
    <row r="1" ht="22.5" customHeight="1">
      <c r="A1" s="28" t="s">
        <v>3</v>
      </c>
      <c r="B1" s="28" t="s">
        <v>51</v>
      </c>
      <c r="C1" s="28" t="s">
        <v>11</v>
      </c>
      <c r="D1" s="28" t="s">
        <v>52</v>
      </c>
    </row>
    <row r="2" ht="22.5" customHeight="1">
      <c r="A2" s="29" t="s">
        <v>37</v>
      </c>
      <c r="B2" s="30" t="str">
        <f>VLOOKUP(A2, 'Master Database'!A:M, 7, FALSE)</f>
        <v>Chemistry</v>
      </c>
      <c r="C2" s="30" t="str">
        <f>VLOOKUP(A2, 'Master Database'!A:M, 9, FALSE)</f>
        <v>Completed</v>
      </c>
      <c r="D2" s="30" t="str">
        <f>VLOOKUP(A2, 'Master Database'!A:M, 12, FALSE)</f>
        <v>N/A</v>
      </c>
    </row>
    <row r="3" ht="22.5" customHeight="1">
      <c r="A3" s="29" t="s">
        <v>31</v>
      </c>
      <c r="B3" s="30" t="str">
        <f>VLOOKUP(A3, 'Master Database'!A:M, 7, FALSE)</f>
        <v>Microbiology</v>
      </c>
      <c r="C3" s="30" t="str">
        <f>VLOOKUP(A3, 'Master Database'!A:M, 9, FALSE)</f>
        <v>Completed</v>
      </c>
      <c r="D3" s="30" t="str">
        <f>VLOOKUP(A3, 'Master Database'!A:M, 12, FALSE)</f>
        <v>N/A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88"/>
    <col customWidth="1" min="2" max="2" width="22.0"/>
  </cols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6.63"/>
  </cols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